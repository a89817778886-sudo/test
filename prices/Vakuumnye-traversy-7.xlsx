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/Desktop/РОЛЛС КРАН/ФОТО/для сайта /ПРАЙСЫ/"/>
    </mc:Choice>
  </mc:AlternateContent>
  <xr:revisionPtr revIDLastSave="0" documentId="13_ncr:1_{7C062ABD-C455-7049-8F92-703E69AA0F24}" xr6:coauthVersionLast="47" xr6:coauthVersionMax="47" xr10:uidLastSave="{00000000-0000-0000-0000-000000000000}"/>
  <bookViews>
    <workbookView xWindow="1120" yWindow="1000" windowWidth="27840" windowHeight="16740" xr2:uid="{EB8133FF-F498-BD41-92B4-A71632DCBE8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28" i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K36" i="1"/>
  <c r="J36" i="1"/>
  <c r="K35" i="1"/>
  <c r="J35" i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J27" i="1"/>
  <c r="K22" i="1"/>
  <c r="J22" i="1"/>
  <c r="J21" i="1"/>
  <c r="K21" i="1" s="1"/>
  <c r="J20" i="1"/>
  <c r="K20" i="1" s="1"/>
  <c r="J19" i="1"/>
  <c r="K19" i="1" s="1"/>
  <c r="K18" i="1"/>
  <c r="J18" i="1"/>
  <c r="J17" i="1"/>
  <c r="K17" i="1" s="1"/>
  <c r="J16" i="1"/>
  <c r="K16" i="1" s="1"/>
  <c r="J15" i="1"/>
  <c r="K15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</calcChain>
</file>

<file path=xl/sharedStrings.xml><?xml version="1.0" encoding="utf-8"?>
<sst xmlns="http://schemas.openxmlformats.org/spreadsheetml/2006/main" count="123" uniqueCount="85">
  <si>
    <t>№</t>
  </si>
  <si>
    <t>Грузоподъемность (кг)</t>
  </si>
  <si>
    <t>Тип</t>
  </si>
  <si>
    <t>Размер заготовки
max. / min.(с кранами откл) (мм)</t>
  </si>
  <si>
    <t>Количество присосок</t>
  </si>
  <si>
    <t>D присоски (мм)</t>
  </si>
  <si>
    <t>Вес устройства (кг)</t>
  </si>
  <si>
    <t>Цена без НДС</t>
  </si>
  <si>
    <t>Сумма НДС</t>
  </si>
  <si>
    <t>Итого с НДС 22%</t>
  </si>
  <si>
    <t>VacuTec 4P-350-L2.2-D200</t>
  </si>
  <si>
    <t>3000x2000/470х1000</t>
  </si>
  <si>
    <t>~ 100</t>
  </si>
  <si>
    <t>VacuTec 6P-500-L2.2-D200</t>
  </si>
  <si>
    <t>3000x2000/1050х470 (470х220)</t>
  </si>
  <si>
    <t>~ 110</t>
  </si>
  <si>
    <t>VacuTec 8P-760-L2.2-D200</t>
  </si>
  <si>
    <t>3000x2000/1450х470 (470х220)</t>
  </si>
  <si>
    <t>~ 120</t>
  </si>
  <si>
    <t>VacuTec 4P-800-L2.2-D300</t>
  </si>
  <si>
    <t>3000x2000/1200x650</t>
  </si>
  <si>
    <t>~ 105</t>
  </si>
  <si>
    <t>VacuTec 6P-1200-L2.2-D300</t>
  </si>
  <si>
    <t>3000x2000/1150х650 (650х320)</t>
  </si>
  <si>
    <t xml:space="preserve">VacuTec 8P-1600-L2.2-D300 </t>
  </si>
  <si>
    <t>3000х2000/1700х650 (1070х650)</t>
  </si>
  <si>
    <t>~ 130</t>
  </si>
  <si>
    <t>VacuTec 4PR-200-L2.2-D200</t>
  </si>
  <si>
    <t>3000х2000/500х1300</t>
  </si>
  <si>
    <t>~ 160</t>
  </si>
  <si>
    <t>VacuTec 8PR-400-L2.2-D200</t>
  </si>
  <si>
    <t>3000х2000/500х1600 (500х1050)</t>
  </si>
  <si>
    <t>~ 170</t>
  </si>
  <si>
    <t>VacuTec 8PR-800-L2.2-D300</t>
  </si>
  <si>
    <t>3000х2000/650х1750 (650х1150)</t>
  </si>
  <si>
    <t>~ 180</t>
  </si>
  <si>
    <t>VacuTec 4GT-140-L2.2-D300</t>
  </si>
  <si>
    <t>3500х2000</t>
  </si>
  <si>
    <t>~ 128</t>
  </si>
  <si>
    <t>VacuTec 8GT-280-L2.2-D300</t>
  </si>
  <si>
    <t>~ 145</t>
  </si>
  <si>
    <t>6м</t>
  </si>
  <si>
    <t>VacuTec 10P-900-L5.5-D200</t>
  </si>
  <si>
    <t>6000x2000/250х500</t>
  </si>
  <si>
    <t>~ 225</t>
  </si>
  <si>
    <t>VacuTec 14P-1200-L5.5-D200</t>
  </si>
  <si>
    <t>~ 245</t>
  </si>
  <si>
    <t>VacuTec 10P-2000-L5.5-D300</t>
  </si>
  <si>
    <t>6000х2000/700х350</t>
  </si>
  <si>
    <t>~ 235</t>
  </si>
  <si>
    <t>VacuTec 14P-2800-L5.5-D300</t>
  </si>
  <si>
    <t>~ 255</t>
  </si>
  <si>
    <t>VacuTec 10PR-500-L5.5-D200</t>
  </si>
  <si>
    <t>6000х2000/600x300</t>
  </si>
  <si>
    <t>~ 270</t>
  </si>
  <si>
    <t>VacuTec 8PR-800-L5.5-D300</t>
  </si>
  <si>
    <t>6000х2000/2650х750</t>
  </si>
  <si>
    <t>~ 280</t>
  </si>
  <si>
    <t>VacuTec 10PR-1000-L5.5-D300</t>
  </si>
  <si>
    <t>6000х2000/400x750</t>
  </si>
  <si>
    <t>~ 300</t>
  </si>
  <si>
    <t>VacuTec 12PR-1000-L5.5-D300</t>
  </si>
  <si>
    <t>6000х2000</t>
  </si>
  <si>
    <t>~ 320</t>
  </si>
  <si>
    <t>Сменный аккумулятор 24V. 20,8Ah в комплекте с блоком питания</t>
  </si>
  <si>
    <t>Опоры для хранения траверсы типа Р</t>
  </si>
  <si>
    <t>Спиральный кабель управления</t>
  </si>
  <si>
    <t>VacuTec 4P-350-L2.2-D200A</t>
  </si>
  <si>
    <t>VacuTec 6P-500-L2.2-D200A</t>
  </si>
  <si>
    <t>VacuTec 8P-760-L2.2-D200A</t>
  </si>
  <si>
    <t>VacuTec 4P-800-L2.2-D300A</t>
  </si>
  <si>
    <t>VacuTec 6P-1200-L2.2-D300A</t>
  </si>
  <si>
    <t>VacuTec 8P-1600-L2.2-D300A</t>
  </si>
  <si>
    <t>VacuTec 4PR-200-L2.2-D200A</t>
  </si>
  <si>
    <t>VacuTec 8PR-400-L2.2-D200A</t>
  </si>
  <si>
    <t>VacuTec 8PR-800-L2.2-D300A</t>
  </si>
  <si>
    <t>VacuTec 10P-900-L5.5-D200A</t>
  </si>
  <si>
    <t>VacuTec 14P-1200-L5.5-D200A</t>
  </si>
  <si>
    <t>VacuTec 10P-2000-L5.5-D300A</t>
  </si>
  <si>
    <t>VacuTec 14P-2800-L5.5-D300A</t>
  </si>
  <si>
    <t>VacuTec 10PR-500-L5.5-D200A</t>
  </si>
  <si>
    <t>VacuTec 8PR-800-L5.5-D300A</t>
  </si>
  <si>
    <t>VacuTec 10PR-1000-L5.5-D300A</t>
  </si>
  <si>
    <t>VacuTec 12PR-1000-L5.5-D300A</t>
  </si>
  <si>
    <t>Наклонная 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</si>
</sst>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164" fontId="0" fillId="0" borderId="5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8B8F-D6CF-C941-8B27-065FFEF71435}">
  <dimension ref="B2:K43"/>
  <sheetViews>
    <sheetView tabSelected="1" workbookViewId="0">
      <selection activeCell="M23" sqref="M23"/>
    </sheetView>
  </sheetViews>
  <sheetFormatPr baseColWidth="10" defaultRowHeight="16" x14ac:dyDescent="0.2"/>
  <cols>
    <col min="4" max="4" width="33.6640625" customWidth="1"/>
    <col min="5" max="5" width="29" bestFit="1" customWidth="1"/>
    <col min="6" max="6" width="10.5" bestFit="1" customWidth="1"/>
    <col min="9" max="9" width="13.1640625" bestFit="1" customWidth="1"/>
    <col min="10" max="10" width="11.6640625" bestFit="1" customWidth="1"/>
    <col min="11" max="11" width="16.83203125" bestFit="1" customWidth="1"/>
  </cols>
  <sheetData>
    <row r="2" spans="2:11" ht="5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2">
      <c r="B3" s="2">
        <v>1</v>
      </c>
      <c r="C3" s="2">
        <v>350</v>
      </c>
      <c r="D3" s="2" t="s">
        <v>10</v>
      </c>
      <c r="E3" s="2" t="s">
        <v>11</v>
      </c>
      <c r="F3" s="2">
        <v>4</v>
      </c>
      <c r="G3" s="2">
        <v>210</v>
      </c>
      <c r="H3" s="2" t="s">
        <v>12</v>
      </c>
      <c r="I3" s="3">
        <v>197000</v>
      </c>
      <c r="J3" s="3">
        <f>I3*22/100</f>
        <v>43340</v>
      </c>
      <c r="K3" s="3">
        <f>SUM(J3)+I3</f>
        <v>240340</v>
      </c>
    </row>
    <row r="4" spans="2:11" x14ac:dyDescent="0.2">
      <c r="B4" s="2">
        <v>2</v>
      </c>
      <c r="C4" s="2">
        <v>500</v>
      </c>
      <c r="D4" s="2" t="s">
        <v>13</v>
      </c>
      <c r="E4" s="2" t="s">
        <v>14</v>
      </c>
      <c r="F4" s="2">
        <v>6</v>
      </c>
      <c r="G4" s="2">
        <v>210</v>
      </c>
      <c r="H4" s="2" t="s">
        <v>15</v>
      </c>
      <c r="I4" s="3">
        <v>222000</v>
      </c>
      <c r="J4" s="3">
        <f t="shared" ref="J4:J26" si="0">I4*22/100</f>
        <v>48840</v>
      </c>
      <c r="K4" s="3">
        <f t="shared" ref="K4:K22" si="1">SUM(J4)+I4</f>
        <v>270840</v>
      </c>
    </row>
    <row r="5" spans="2:11" x14ac:dyDescent="0.2">
      <c r="B5" s="2">
        <v>3</v>
      </c>
      <c r="C5" s="2">
        <v>760</v>
      </c>
      <c r="D5" s="2" t="s">
        <v>16</v>
      </c>
      <c r="E5" s="2" t="s">
        <v>17</v>
      </c>
      <c r="F5" s="2">
        <v>8</v>
      </c>
      <c r="G5" s="2">
        <v>210</v>
      </c>
      <c r="H5" s="2" t="s">
        <v>18</v>
      </c>
      <c r="I5" s="3">
        <v>259000</v>
      </c>
      <c r="J5" s="3">
        <f t="shared" si="0"/>
        <v>56980</v>
      </c>
      <c r="K5" s="3">
        <f t="shared" si="1"/>
        <v>315980</v>
      </c>
    </row>
    <row r="6" spans="2:11" x14ac:dyDescent="0.2">
      <c r="B6" s="2">
        <v>4</v>
      </c>
      <c r="C6" s="2">
        <v>800</v>
      </c>
      <c r="D6" s="2" t="s">
        <v>19</v>
      </c>
      <c r="E6" s="2" t="s">
        <v>20</v>
      </c>
      <c r="F6" s="2">
        <v>4</v>
      </c>
      <c r="G6" s="2">
        <v>300</v>
      </c>
      <c r="H6" s="2" t="s">
        <v>21</v>
      </c>
      <c r="I6" s="3">
        <v>233000</v>
      </c>
      <c r="J6" s="3">
        <f t="shared" si="0"/>
        <v>51260</v>
      </c>
      <c r="K6" s="3">
        <f t="shared" si="1"/>
        <v>284260</v>
      </c>
    </row>
    <row r="7" spans="2:11" x14ac:dyDescent="0.2">
      <c r="B7" s="2">
        <v>5</v>
      </c>
      <c r="C7" s="2">
        <v>1200</v>
      </c>
      <c r="D7" s="2" t="s">
        <v>22</v>
      </c>
      <c r="E7" s="2" t="s">
        <v>23</v>
      </c>
      <c r="F7" s="2">
        <v>6</v>
      </c>
      <c r="G7" s="2">
        <v>300</v>
      </c>
      <c r="H7" s="2" t="s">
        <v>18</v>
      </c>
      <c r="I7" s="3">
        <v>266600</v>
      </c>
      <c r="J7" s="3">
        <f t="shared" si="0"/>
        <v>58652</v>
      </c>
      <c r="K7" s="3">
        <f t="shared" si="1"/>
        <v>325252</v>
      </c>
    </row>
    <row r="8" spans="2:11" x14ac:dyDescent="0.2">
      <c r="B8" s="2">
        <v>6</v>
      </c>
      <c r="C8" s="2">
        <v>1600</v>
      </c>
      <c r="D8" s="2" t="s">
        <v>24</v>
      </c>
      <c r="E8" s="2" t="s">
        <v>25</v>
      </c>
      <c r="F8" s="2">
        <v>8</v>
      </c>
      <c r="G8" s="2">
        <v>300</v>
      </c>
      <c r="H8" s="2" t="s">
        <v>26</v>
      </c>
      <c r="I8" s="3">
        <v>310000</v>
      </c>
      <c r="J8" s="3">
        <f t="shared" si="0"/>
        <v>68200</v>
      </c>
      <c r="K8" s="3">
        <f t="shared" si="1"/>
        <v>378200</v>
      </c>
    </row>
    <row r="9" spans="2:11" x14ac:dyDescent="0.2">
      <c r="B9" s="2">
        <v>7</v>
      </c>
      <c r="C9" s="4">
        <v>200</v>
      </c>
      <c r="D9" s="4" t="s">
        <v>27</v>
      </c>
      <c r="E9" s="4" t="s">
        <v>28</v>
      </c>
      <c r="F9" s="4">
        <v>4</v>
      </c>
      <c r="G9" s="4">
        <v>210</v>
      </c>
      <c r="H9" s="4" t="s">
        <v>29</v>
      </c>
      <c r="I9" s="5">
        <v>296000</v>
      </c>
      <c r="J9" s="3">
        <f t="shared" si="0"/>
        <v>65120</v>
      </c>
      <c r="K9" s="3">
        <f t="shared" si="1"/>
        <v>361120</v>
      </c>
    </row>
    <row r="10" spans="2:11" x14ac:dyDescent="0.2">
      <c r="B10" s="2">
        <v>8</v>
      </c>
      <c r="C10" s="2">
        <v>400</v>
      </c>
      <c r="D10" s="2" t="s">
        <v>30</v>
      </c>
      <c r="E10" s="2" t="s">
        <v>31</v>
      </c>
      <c r="F10" s="2">
        <v>8</v>
      </c>
      <c r="G10" s="2">
        <v>210</v>
      </c>
      <c r="H10" s="2" t="s">
        <v>32</v>
      </c>
      <c r="I10" s="5">
        <v>388000</v>
      </c>
      <c r="J10" s="3">
        <f t="shared" si="0"/>
        <v>85360</v>
      </c>
      <c r="K10" s="3">
        <f t="shared" si="1"/>
        <v>473360</v>
      </c>
    </row>
    <row r="11" spans="2:11" x14ac:dyDescent="0.2">
      <c r="B11" s="2">
        <v>9</v>
      </c>
      <c r="C11" s="4">
        <v>800</v>
      </c>
      <c r="D11" s="4" t="s">
        <v>33</v>
      </c>
      <c r="E11" s="4" t="s">
        <v>34</v>
      </c>
      <c r="F11" s="4">
        <v>8</v>
      </c>
      <c r="G11" s="4">
        <v>300</v>
      </c>
      <c r="H11" s="4" t="s">
        <v>35</v>
      </c>
      <c r="I11" s="5">
        <v>465000</v>
      </c>
      <c r="J11" s="3">
        <f t="shared" si="0"/>
        <v>102300</v>
      </c>
      <c r="K11" s="3">
        <f t="shared" si="1"/>
        <v>567300</v>
      </c>
    </row>
    <row r="12" spans="2:11" x14ac:dyDescent="0.2">
      <c r="B12" s="2">
        <v>10</v>
      </c>
      <c r="C12" s="2">
        <v>140</v>
      </c>
      <c r="D12" s="2" t="s">
        <v>36</v>
      </c>
      <c r="E12" s="2" t="s">
        <v>37</v>
      </c>
      <c r="F12" s="2">
        <v>4</v>
      </c>
      <c r="G12" s="2">
        <v>300</v>
      </c>
      <c r="H12" s="2" t="s">
        <v>38</v>
      </c>
      <c r="I12" s="3">
        <v>272000</v>
      </c>
      <c r="J12" s="3">
        <f t="shared" si="0"/>
        <v>59840</v>
      </c>
      <c r="K12" s="3">
        <f t="shared" si="1"/>
        <v>331840</v>
      </c>
    </row>
    <row r="13" spans="2:11" x14ac:dyDescent="0.2">
      <c r="B13" s="2">
        <v>11</v>
      </c>
      <c r="C13" s="2">
        <v>280</v>
      </c>
      <c r="D13" s="2" t="s">
        <v>39</v>
      </c>
      <c r="E13" s="2" t="s">
        <v>37</v>
      </c>
      <c r="F13" s="2">
        <v>8</v>
      </c>
      <c r="G13" s="2">
        <v>300</v>
      </c>
      <c r="H13" s="2" t="s">
        <v>40</v>
      </c>
      <c r="I13" s="3">
        <v>329000</v>
      </c>
      <c r="J13" s="3">
        <f t="shared" si="0"/>
        <v>72380</v>
      </c>
      <c r="K13" s="3">
        <f t="shared" si="1"/>
        <v>401380</v>
      </c>
    </row>
    <row r="14" spans="2:11" x14ac:dyDescent="0.2">
      <c r="B14" s="8" t="s">
        <v>41</v>
      </c>
      <c r="C14" s="9"/>
      <c r="D14" s="9"/>
      <c r="E14" s="9"/>
      <c r="F14" s="9"/>
      <c r="G14" s="9"/>
      <c r="H14" s="9"/>
      <c r="I14" s="9"/>
      <c r="J14" s="9"/>
      <c r="K14" s="10"/>
    </row>
    <row r="15" spans="2:11" x14ac:dyDescent="0.2">
      <c r="B15" s="2">
        <v>12</v>
      </c>
      <c r="C15" s="2">
        <v>900</v>
      </c>
      <c r="D15" s="2" t="s">
        <v>42</v>
      </c>
      <c r="E15" s="2" t="s">
        <v>43</v>
      </c>
      <c r="F15" s="2">
        <v>10</v>
      </c>
      <c r="G15" s="2">
        <v>210</v>
      </c>
      <c r="H15" s="2" t="s">
        <v>44</v>
      </c>
      <c r="I15" s="3">
        <v>363000</v>
      </c>
      <c r="J15" s="3">
        <f t="shared" si="0"/>
        <v>79860</v>
      </c>
      <c r="K15" s="3">
        <f t="shared" si="1"/>
        <v>442860</v>
      </c>
    </row>
    <row r="16" spans="2:11" x14ac:dyDescent="0.2">
      <c r="B16" s="2">
        <v>13</v>
      </c>
      <c r="C16" s="2">
        <v>1200</v>
      </c>
      <c r="D16" s="2" t="s">
        <v>45</v>
      </c>
      <c r="E16" s="2" t="s">
        <v>43</v>
      </c>
      <c r="F16" s="2">
        <v>14</v>
      </c>
      <c r="G16" s="2">
        <v>210</v>
      </c>
      <c r="H16" s="2" t="s">
        <v>46</v>
      </c>
      <c r="I16" s="3">
        <v>412000</v>
      </c>
      <c r="J16" s="3">
        <f t="shared" si="0"/>
        <v>90640</v>
      </c>
      <c r="K16" s="3">
        <f t="shared" si="1"/>
        <v>502640</v>
      </c>
    </row>
    <row r="17" spans="2:11" x14ac:dyDescent="0.2">
      <c r="B17" s="2">
        <v>14</v>
      </c>
      <c r="C17" s="2">
        <v>2000</v>
      </c>
      <c r="D17" s="2" t="s">
        <v>47</v>
      </c>
      <c r="E17" s="2" t="s">
        <v>48</v>
      </c>
      <c r="F17" s="2">
        <v>10</v>
      </c>
      <c r="G17" s="2">
        <v>300</v>
      </c>
      <c r="H17" s="2" t="s">
        <v>49</v>
      </c>
      <c r="I17" s="3">
        <v>471000</v>
      </c>
      <c r="J17" s="3">
        <f t="shared" si="0"/>
        <v>103620</v>
      </c>
      <c r="K17" s="3">
        <f t="shared" si="1"/>
        <v>574620</v>
      </c>
    </row>
    <row r="18" spans="2:11" x14ac:dyDescent="0.2">
      <c r="B18" s="2">
        <v>15</v>
      </c>
      <c r="C18" s="2">
        <v>2800</v>
      </c>
      <c r="D18" s="2" t="s">
        <v>50</v>
      </c>
      <c r="E18" s="2" t="s">
        <v>48</v>
      </c>
      <c r="F18" s="2">
        <v>14</v>
      </c>
      <c r="G18" s="2">
        <v>300</v>
      </c>
      <c r="H18" s="2" t="s">
        <v>51</v>
      </c>
      <c r="I18" s="3">
        <v>536000</v>
      </c>
      <c r="J18" s="3">
        <f t="shared" si="0"/>
        <v>117920</v>
      </c>
      <c r="K18" s="3">
        <f t="shared" si="1"/>
        <v>653920</v>
      </c>
    </row>
    <row r="19" spans="2:11" x14ac:dyDescent="0.2">
      <c r="B19" s="2">
        <v>16</v>
      </c>
      <c r="C19" s="4">
        <v>500</v>
      </c>
      <c r="D19" s="4" t="s">
        <v>52</v>
      </c>
      <c r="E19" s="4" t="s">
        <v>53</v>
      </c>
      <c r="F19" s="4">
        <v>10</v>
      </c>
      <c r="G19" s="2">
        <v>210</v>
      </c>
      <c r="H19" s="4" t="s">
        <v>54</v>
      </c>
      <c r="I19" s="3">
        <v>650000</v>
      </c>
      <c r="J19" s="3">
        <f t="shared" si="0"/>
        <v>143000</v>
      </c>
      <c r="K19" s="3">
        <f t="shared" si="1"/>
        <v>793000</v>
      </c>
    </row>
    <row r="20" spans="2:11" x14ac:dyDescent="0.2">
      <c r="B20" s="2">
        <v>17</v>
      </c>
      <c r="C20" s="4">
        <v>800</v>
      </c>
      <c r="D20" s="4" t="s">
        <v>55</v>
      </c>
      <c r="E20" s="4" t="s">
        <v>56</v>
      </c>
      <c r="F20" s="4">
        <v>8</v>
      </c>
      <c r="G20" s="2">
        <v>300</v>
      </c>
      <c r="H20" s="4" t="s">
        <v>57</v>
      </c>
      <c r="I20" s="3">
        <v>825000</v>
      </c>
      <c r="J20" s="3">
        <f t="shared" si="0"/>
        <v>181500</v>
      </c>
      <c r="K20" s="3">
        <f t="shared" si="1"/>
        <v>1006500</v>
      </c>
    </row>
    <row r="21" spans="2:11" x14ac:dyDescent="0.2">
      <c r="B21" s="2">
        <v>18</v>
      </c>
      <c r="C21" s="2">
        <v>1000</v>
      </c>
      <c r="D21" s="2" t="s">
        <v>58</v>
      </c>
      <c r="E21" s="2" t="s">
        <v>59</v>
      </c>
      <c r="F21" s="2">
        <v>10</v>
      </c>
      <c r="G21" s="2">
        <v>300</v>
      </c>
      <c r="H21" s="2" t="s">
        <v>60</v>
      </c>
      <c r="I21" s="3">
        <v>1042000</v>
      </c>
      <c r="J21" s="3">
        <f t="shared" si="0"/>
        <v>229240</v>
      </c>
      <c r="K21" s="3">
        <f t="shared" si="1"/>
        <v>1271240</v>
      </c>
    </row>
    <row r="22" spans="2:11" x14ac:dyDescent="0.2">
      <c r="B22" s="2">
        <v>19</v>
      </c>
      <c r="C22" s="2">
        <v>1200</v>
      </c>
      <c r="D22" s="2" t="s">
        <v>61</v>
      </c>
      <c r="E22" s="2" t="s">
        <v>62</v>
      </c>
      <c r="F22" s="2">
        <v>12</v>
      </c>
      <c r="G22" s="2">
        <v>300</v>
      </c>
      <c r="H22" s="2" t="s">
        <v>63</v>
      </c>
      <c r="I22" s="3">
        <v>1125000</v>
      </c>
      <c r="J22" s="3">
        <f t="shared" si="0"/>
        <v>247500</v>
      </c>
      <c r="K22" s="3">
        <f t="shared" si="1"/>
        <v>1372500</v>
      </c>
    </row>
    <row r="23" spans="2:11" ht="34" x14ac:dyDescent="0.2">
      <c r="B23" s="2">
        <v>20</v>
      </c>
      <c r="C23" s="6"/>
      <c r="D23" s="7" t="s">
        <v>64</v>
      </c>
      <c r="E23" s="6"/>
      <c r="F23" s="6"/>
      <c r="G23" s="6"/>
      <c r="H23" s="6"/>
      <c r="I23" s="3">
        <v>39401.64</v>
      </c>
      <c r="J23" s="3">
        <v>8668.36</v>
      </c>
      <c r="K23" s="3">
        <v>48070</v>
      </c>
    </row>
    <row r="24" spans="2:11" x14ac:dyDescent="0.2">
      <c r="B24" s="2">
        <v>21</v>
      </c>
      <c r="C24" s="6"/>
      <c r="D24" s="6" t="s">
        <v>65</v>
      </c>
      <c r="E24" s="6"/>
      <c r="F24" s="6"/>
      <c r="G24" s="6"/>
      <c r="H24" s="6"/>
      <c r="I24" s="3">
        <v>7500</v>
      </c>
      <c r="J24" s="3">
        <v>1650</v>
      </c>
      <c r="K24" s="3">
        <v>9150</v>
      </c>
    </row>
    <row r="25" spans="2:11" x14ac:dyDescent="0.2">
      <c r="B25" s="2">
        <v>22</v>
      </c>
      <c r="C25" s="6"/>
      <c r="D25" s="6" t="s">
        <v>66</v>
      </c>
      <c r="E25" s="6"/>
      <c r="F25" s="6"/>
      <c r="G25" s="6"/>
      <c r="H25" s="6"/>
      <c r="I25" s="3">
        <v>15700.82</v>
      </c>
      <c r="J25" s="3">
        <v>3454.18</v>
      </c>
      <c r="K25" s="3">
        <v>19155</v>
      </c>
    </row>
    <row r="26" spans="2:11" x14ac:dyDescent="0.2">
      <c r="D26" t="s">
        <v>84</v>
      </c>
      <c r="I26" s="11">
        <v>17622.95</v>
      </c>
      <c r="J26" s="11">
        <v>3877.05</v>
      </c>
      <c r="K26" s="11">
        <v>21500</v>
      </c>
    </row>
    <row r="27" spans="2:11" x14ac:dyDescent="0.2">
      <c r="B27" s="2">
        <v>23</v>
      </c>
      <c r="C27" s="2">
        <v>350</v>
      </c>
      <c r="D27" s="2" t="s">
        <v>67</v>
      </c>
      <c r="E27" s="2" t="s">
        <v>11</v>
      </c>
      <c r="F27" s="2">
        <v>4</v>
      </c>
      <c r="G27" s="2">
        <v>210</v>
      </c>
      <c r="H27" s="2" t="s">
        <v>12</v>
      </c>
      <c r="I27" s="3">
        <v>197000</v>
      </c>
      <c r="J27" s="3">
        <f>I27*22/100</f>
        <v>43340</v>
      </c>
      <c r="K27" s="3">
        <f>SUM(J27)+I27</f>
        <v>240340</v>
      </c>
    </row>
    <row r="28" spans="2:11" x14ac:dyDescent="0.2">
      <c r="B28" s="2">
        <v>24</v>
      </c>
      <c r="C28" s="2">
        <v>500</v>
      </c>
      <c r="D28" s="2" t="s">
        <v>68</v>
      </c>
      <c r="E28" s="2" t="s">
        <v>14</v>
      </c>
      <c r="F28" s="2">
        <v>6</v>
      </c>
      <c r="G28" s="2">
        <v>210</v>
      </c>
      <c r="H28" s="2" t="s">
        <v>15</v>
      </c>
      <c r="I28" s="3">
        <v>222000</v>
      </c>
      <c r="J28" s="3">
        <f t="shared" ref="J28:J43" si="2">I28*22/100</f>
        <v>48840</v>
      </c>
      <c r="K28" s="3">
        <f t="shared" ref="K28:K43" si="3">SUM(J28)+I28</f>
        <v>270840</v>
      </c>
    </row>
    <row r="29" spans="2:11" x14ac:dyDescent="0.2">
      <c r="B29" s="2">
        <v>25</v>
      </c>
      <c r="C29" s="2">
        <v>760</v>
      </c>
      <c r="D29" s="2" t="s">
        <v>69</v>
      </c>
      <c r="E29" s="2" t="s">
        <v>17</v>
      </c>
      <c r="F29" s="2">
        <v>8</v>
      </c>
      <c r="G29" s="2">
        <v>210</v>
      </c>
      <c r="H29" s="2" t="s">
        <v>18</v>
      </c>
      <c r="I29" s="3">
        <v>259000</v>
      </c>
      <c r="J29" s="3">
        <f t="shared" si="2"/>
        <v>56980</v>
      </c>
      <c r="K29" s="3">
        <f t="shared" si="3"/>
        <v>315980</v>
      </c>
    </row>
    <row r="30" spans="2:11" x14ac:dyDescent="0.2">
      <c r="B30" s="2">
        <v>26</v>
      </c>
      <c r="C30" s="2">
        <v>800</v>
      </c>
      <c r="D30" s="2" t="s">
        <v>70</v>
      </c>
      <c r="E30" s="2" t="s">
        <v>20</v>
      </c>
      <c r="F30" s="2">
        <v>4</v>
      </c>
      <c r="G30" s="2">
        <v>300</v>
      </c>
      <c r="H30" s="2" t="s">
        <v>21</v>
      </c>
      <c r="I30" s="3">
        <v>233000</v>
      </c>
      <c r="J30" s="3">
        <f t="shared" si="2"/>
        <v>51260</v>
      </c>
      <c r="K30" s="3">
        <f t="shared" si="3"/>
        <v>284260</v>
      </c>
    </row>
    <row r="31" spans="2:11" x14ac:dyDescent="0.2">
      <c r="B31" s="2">
        <v>27</v>
      </c>
      <c r="C31" s="2">
        <v>1200</v>
      </c>
      <c r="D31" s="2" t="s">
        <v>71</v>
      </c>
      <c r="E31" s="2" t="s">
        <v>23</v>
      </c>
      <c r="F31" s="2">
        <v>6</v>
      </c>
      <c r="G31" s="2">
        <v>300</v>
      </c>
      <c r="H31" s="2" t="s">
        <v>18</v>
      </c>
      <c r="I31" s="3">
        <v>266600</v>
      </c>
      <c r="J31" s="3">
        <f t="shared" si="2"/>
        <v>58652</v>
      </c>
      <c r="K31" s="3">
        <f t="shared" si="3"/>
        <v>325252</v>
      </c>
    </row>
    <row r="32" spans="2:11" x14ac:dyDescent="0.2">
      <c r="B32" s="2">
        <v>28</v>
      </c>
      <c r="C32" s="2">
        <v>1600</v>
      </c>
      <c r="D32" s="2" t="s">
        <v>72</v>
      </c>
      <c r="E32" s="2" t="s">
        <v>25</v>
      </c>
      <c r="F32" s="2">
        <v>8</v>
      </c>
      <c r="G32" s="2">
        <v>300</v>
      </c>
      <c r="H32" s="2" t="s">
        <v>26</v>
      </c>
      <c r="I32" s="3">
        <v>310000</v>
      </c>
      <c r="J32" s="3">
        <f t="shared" si="2"/>
        <v>68200</v>
      </c>
      <c r="K32" s="3">
        <f t="shared" si="3"/>
        <v>378200</v>
      </c>
    </row>
    <row r="33" spans="2:11" x14ac:dyDescent="0.2">
      <c r="B33" s="2">
        <v>29</v>
      </c>
      <c r="C33" s="4">
        <v>200</v>
      </c>
      <c r="D33" s="4" t="s">
        <v>73</v>
      </c>
      <c r="E33" s="4" t="s">
        <v>28</v>
      </c>
      <c r="F33" s="4">
        <v>4</v>
      </c>
      <c r="G33" s="4">
        <v>210</v>
      </c>
      <c r="H33" s="4" t="s">
        <v>29</v>
      </c>
      <c r="I33" s="5">
        <v>296000</v>
      </c>
      <c r="J33" s="3">
        <f t="shared" si="2"/>
        <v>65120</v>
      </c>
      <c r="K33" s="3">
        <f t="shared" si="3"/>
        <v>361120</v>
      </c>
    </row>
    <row r="34" spans="2:11" x14ac:dyDescent="0.2">
      <c r="B34" s="2">
        <v>30</v>
      </c>
      <c r="C34" s="2">
        <v>400</v>
      </c>
      <c r="D34" s="2" t="s">
        <v>74</v>
      </c>
      <c r="E34" s="2" t="s">
        <v>31</v>
      </c>
      <c r="F34" s="2">
        <v>8</v>
      </c>
      <c r="G34" s="2">
        <v>210</v>
      </c>
      <c r="H34" s="2" t="s">
        <v>32</v>
      </c>
      <c r="I34" s="5">
        <v>388000</v>
      </c>
      <c r="J34" s="3">
        <f t="shared" si="2"/>
        <v>85360</v>
      </c>
      <c r="K34" s="3">
        <f t="shared" si="3"/>
        <v>473360</v>
      </c>
    </row>
    <row r="35" spans="2:11" x14ac:dyDescent="0.2">
      <c r="B35" s="2">
        <v>31</v>
      </c>
      <c r="C35" s="4">
        <v>800</v>
      </c>
      <c r="D35" s="4" t="s">
        <v>75</v>
      </c>
      <c r="E35" s="4" t="s">
        <v>34</v>
      </c>
      <c r="F35" s="4">
        <v>8</v>
      </c>
      <c r="G35" s="4">
        <v>300</v>
      </c>
      <c r="H35" s="4" t="s">
        <v>35</v>
      </c>
      <c r="I35" s="5">
        <v>465000</v>
      </c>
      <c r="J35" s="3">
        <f t="shared" si="2"/>
        <v>102300</v>
      </c>
      <c r="K35" s="3">
        <f t="shared" si="3"/>
        <v>567300</v>
      </c>
    </row>
    <row r="36" spans="2:11" x14ac:dyDescent="0.2">
      <c r="B36" s="2">
        <v>32</v>
      </c>
      <c r="C36" s="2">
        <v>900</v>
      </c>
      <c r="D36" s="2" t="s">
        <v>76</v>
      </c>
      <c r="E36" s="2" t="s">
        <v>43</v>
      </c>
      <c r="F36" s="2">
        <v>10</v>
      </c>
      <c r="G36" s="2">
        <v>210</v>
      </c>
      <c r="H36" s="2" t="s">
        <v>44</v>
      </c>
      <c r="I36" s="3">
        <v>363000</v>
      </c>
      <c r="J36" s="3">
        <f t="shared" si="2"/>
        <v>79860</v>
      </c>
      <c r="K36" s="3">
        <f t="shared" si="3"/>
        <v>442860</v>
      </c>
    </row>
    <row r="37" spans="2:11" x14ac:dyDescent="0.2">
      <c r="B37" s="2">
        <v>33</v>
      </c>
      <c r="C37" s="2">
        <v>1200</v>
      </c>
      <c r="D37" s="2" t="s">
        <v>77</v>
      </c>
      <c r="E37" s="2" t="s">
        <v>43</v>
      </c>
      <c r="F37" s="2">
        <v>14</v>
      </c>
      <c r="G37" s="2">
        <v>210</v>
      </c>
      <c r="H37" s="2" t="s">
        <v>46</v>
      </c>
      <c r="I37" s="3">
        <v>412000</v>
      </c>
      <c r="J37" s="3">
        <f t="shared" si="2"/>
        <v>90640</v>
      </c>
      <c r="K37" s="3">
        <f t="shared" si="3"/>
        <v>502640</v>
      </c>
    </row>
    <row r="38" spans="2:11" x14ac:dyDescent="0.2">
      <c r="B38" s="2">
        <v>34</v>
      </c>
      <c r="C38" s="2">
        <v>2000</v>
      </c>
      <c r="D38" s="2" t="s">
        <v>78</v>
      </c>
      <c r="E38" s="2" t="s">
        <v>48</v>
      </c>
      <c r="F38" s="2">
        <v>10</v>
      </c>
      <c r="G38" s="2">
        <v>300</v>
      </c>
      <c r="H38" s="2" t="s">
        <v>49</v>
      </c>
      <c r="I38" s="3">
        <v>471000</v>
      </c>
      <c r="J38" s="3">
        <f t="shared" si="2"/>
        <v>103620</v>
      </c>
      <c r="K38" s="3">
        <f t="shared" si="3"/>
        <v>574620</v>
      </c>
    </row>
    <row r="39" spans="2:11" x14ac:dyDescent="0.2">
      <c r="B39" s="2">
        <v>35</v>
      </c>
      <c r="C39" s="2">
        <v>2800</v>
      </c>
      <c r="D39" s="2" t="s">
        <v>79</v>
      </c>
      <c r="E39" s="2" t="s">
        <v>48</v>
      </c>
      <c r="F39" s="2">
        <v>14</v>
      </c>
      <c r="G39" s="2">
        <v>300</v>
      </c>
      <c r="H39" s="2" t="s">
        <v>51</v>
      </c>
      <c r="I39" s="3">
        <v>536000</v>
      </c>
      <c r="J39" s="3">
        <f t="shared" si="2"/>
        <v>117920</v>
      </c>
      <c r="K39" s="3">
        <f t="shared" si="3"/>
        <v>653920</v>
      </c>
    </row>
    <row r="40" spans="2:11" x14ac:dyDescent="0.2">
      <c r="B40" s="2">
        <v>36</v>
      </c>
      <c r="C40" s="4">
        <v>500</v>
      </c>
      <c r="D40" s="4" t="s">
        <v>80</v>
      </c>
      <c r="E40" s="4" t="s">
        <v>53</v>
      </c>
      <c r="F40" s="4">
        <v>10</v>
      </c>
      <c r="G40" s="2">
        <v>210</v>
      </c>
      <c r="H40" s="4" t="s">
        <v>54</v>
      </c>
      <c r="I40" s="3">
        <v>650000</v>
      </c>
      <c r="J40" s="3">
        <f t="shared" si="2"/>
        <v>143000</v>
      </c>
      <c r="K40" s="3">
        <f t="shared" si="3"/>
        <v>793000</v>
      </c>
    </row>
    <row r="41" spans="2:11" x14ac:dyDescent="0.2">
      <c r="B41" s="2">
        <v>37</v>
      </c>
      <c r="C41" s="4">
        <v>800</v>
      </c>
      <c r="D41" s="4" t="s">
        <v>81</v>
      </c>
      <c r="E41" s="4" t="s">
        <v>56</v>
      </c>
      <c r="F41" s="4">
        <v>8</v>
      </c>
      <c r="G41" s="2">
        <v>300</v>
      </c>
      <c r="H41" s="4" t="s">
        <v>57</v>
      </c>
      <c r="I41" s="3">
        <v>825000</v>
      </c>
      <c r="J41" s="3">
        <f t="shared" si="2"/>
        <v>181500</v>
      </c>
      <c r="K41" s="3">
        <f t="shared" si="3"/>
        <v>1006500</v>
      </c>
    </row>
    <row r="42" spans="2:11" x14ac:dyDescent="0.2">
      <c r="B42" s="2">
        <v>38</v>
      </c>
      <c r="C42" s="2">
        <v>1000</v>
      </c>
      <c r="D42" s="2" t="s">
        <v>82</v>
      </c>
      <c r="E42" s="2" t="s">
        <v>59</v>
      </c>
      <c r="F42" s="2">
        <v>10</v>
      </c>
      <c r="G42" s="2">
        <v>300</v>
      </c>
      <c r="H42" s="2" t="s">
        <v>60</v>
      </c>
      <c r="I42" s="3">
        <v>1042000</v>
      </c>
      <c r="J42" s="3">
        <f t="shared" si="2"/>
        <v>229240</v>
      </c>
      <c r="K42" s="3">
        <f t="shared" si="3"/>
        <v>1271240</v>
      </c>
    </row>
    <row r="43" spans="2:11" x14ac:dyDescent="0.2">
      <c r="B43" s="2">
        <v>39</v>
      </c>
      <c r="C43" s="2">
        <v>1200</v>
      </c>
      <c r="D43" s="2" t="s">
        <v>83</v>
      </c>
      <c r="E43" s="2" t="s">
        <v>62</v>
      </c>
      <c r="F43" s="2">
        <v>12</v>
      </c>
      <c r="G43" s="2">
        <v>300</v>
      </c>
      <c r="H43" s="2" t="s">
        <v>63</v>
      </c>
      <c r="I43" s="3">
        <v>1125000</v>
      </c>
      <c r="J43" s="3">
        <f t="shared" si="2"/>
        <v>247500</v>
      </c>
      <c r="K43" s="3">
        <f t="shared" si="3"/>
        <v>1372500</v>
      </c>
    </row>
  </sheetData>
  <mergeCells count="1">
    <mergeCell ref="B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a3596</dc:creator>
  <cp:lastModifiedBy>a3596</cp:lastModifiedBy>
  <dcterms:created xsi:type="dcterms:W3CDTF">2026-07-20T08:31:41Z</dcterms:created>
  <dcterms:modified xsi:type="dcterms:W3CDTF">2026-07-20T12:23:43Z</dcterms:modified>
</cp:coreProperties>
</file>